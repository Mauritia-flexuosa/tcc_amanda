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Z:\BIOLOGIA\TCCs\"/>
    </mc:Choice>
  </mc:AlternateContent>
  <xr:revisionPtr revIDLastSave="0" documentId="13_ncr:1_{FE5A968B-70EF-4102-B4E3-3C8EEAA27B5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ela dinâmica" sheetId="4" r:id="rId1"/>
    <sheet name="Tityus serrulatus" sheetId="2" r:id="rId2"/>
    <sheet name="Tityus spp" sheetId="3" r:id="rId3"/>
  </sheet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0" i="2" l="1"/>
</calcChain>
</file>

<file path=xl/sharedStrings.xml><?xml version="1.0" encoding="utf-8"?>
<sst xmlns="http://schemas.openxmlformats.org/spreadsheetml/2006/main" count="476" uniqueCount="121">
  <si>
    <t>Tipo de Ficha</t>
  </si>
  <si>
    <t>Número da Ficha</t>
  </si>
  <si>
    <t>Atendimento: Ano</t>
  </si>
  <si>
    <t>Atendimento: Mes</t>
  </si>
  <si>
    <t>Solicitante: Município</t>
  </si>
  <si>
    <t>Exposição: Município</t>
  </si>
  <si>
    <t>Exposição: Bairro</t>
  </si>
  <si>
    <t>Substância/Espécie (Total)</t>
  </si>
  <si>
    <t>Número de fichas</t>
  </si>
  <si>
    <t>Humana</t>
  </si>
  <si>
    <t>787/2019</t>
  </si>
  <si>
    <t>Janeiro</t>
  </si>
  <si>
    <t>Florianópolis</t>
  </si>
  <si>
    <t>Tityus serrulatus</t>
  </si>
  <si>
    <t>988/2019</t>
  </si>
  <si>
    <t>2459/2019</t>
  </si>
  <si>
    <t>Fevereiro</t>
  </si>
  <si>
    <t>Não preenchido</t>
  </si>
  <si>
    <t>Agosto</t>
  </si>
  <si>
    <t>Novembro</t>
  </si>
  <si>
    <t>19512/2019</t>
  </si>
  <si>
    <t>Dezembro</t>
  </si>
  <si>
    <t>CANASVIEIRAS</t>
  </si>
  <si>
    <t>11666/2020</t>
  </si>
  <si>
    <t>12165/2020</t>
  </si>
  <si>
    <t>Setembro</t>
  </si>
  <si>
    <t>12823/2020</t>
  </si>
  <si>
    <t>14707/2020</t>
  </si>
  <si>
    <t>Outubro</t>
  </si>
  <si>
    <t>14903/2020</t>
  </si>
  <si>
    <t>16698/2020</t>
  </si>
  <si>
    <t>4459/2021</t>
  </si>
  <si>
    <t>Março</t>
  </si>
  <si>
    <t>6937/2021</t>
  </si>
  <si>
    <t>Maio</t>
  </si>
  <si>
    <t>9118/2021</t>
  </si>
  <si>
    <t>Junho</t>
  </si>
  <si>
    <t>12169/2021</t>
  </si>
  <si>
    <t>PONTA DAS CANAS</t>
  </si>
  <si>
    <t>12876/2021</t>
  </si>
  <si>
    <t>15576/2021</t>
  </si>
  <si>
    <t>8177/2022</t>
  </si>
  <si>
    <t>12352/2022</t>
  </si>
  <si>
    <t>CACHOEIRA DO BOM JESUS</t>
  </si>
  <si>
    <t>15942/2022</t>
  </si>
  <si>
    <t>15946/2022</t>
  </si>
  <si>
    <t>15947/2022</t>
  </si>
  <si>
    <t>17819/2022</t>
  </si>
  <si>
    <t>INGLESES DO RIO VERMELHO</t>
  </si>
  <si>
    <t>19007/2022</t>
  </si>
  <si>
    <t>2289/2023</t>
  </si>
  <si>
    <t>11158/2023</t>
  </si>
  <si>
    <t>17237/2023</t>
  </si>
  <si>
    <t>26115/2023</t>
  </si>
  <si>
    <t>16309/2024</t>
  </si>
  <si>
    <t>17609/2024</t>
  </si>
  <si>
    <t>17769/2024</t>
  </si>
  <si>
    <t>20562/2024</t>
  </si>
  <si>
    <t>21071/2024</t>
  </si>
  <si>
    <t>25068/2024</t>
  </si>
  <si>
    <t>27457/2024</t>
  </si>
  <si>
    <t>Informacão</t>
  </si>
  <si>
    <t>1791/2020</t>
  </si>
  <si>
    <t>Não se Aplica</t>
  </si>
  <si>
    <t>1993/2021</t>
  </si>
  <si>
    <t>8005/2021</t>
  </si>
  <si>
    <t>9188/2022</t>
  </si>
  <si>
    <t>18839/2024</t>
  </si>
  <si>
    <t>24507/2024</t>
  </si>
  <si>
    <t>25699/2024</t>
  </si>
  <si>
    <t>UPA NORTE</t>
  </si>
  <si>
    <t>Tityus spp</t>
  </si>
  <si>
    <t>7918/2019</t>
  </si>
  <si>
    <t>2570/2021</t>
  </si>
  <si>
    <t>4207/2021</t>
  </si>
  <si>
    <t>19214/2021</t>
  </si>
  <si>
    <t>20336/2022</t>
  </si>
  <si>
    <t>3810/2023</t>
  </si>
  <si>
    <t>24928/2023</t>
  </si>
  <si>
    <t>3847/2024</t>
  </si>
  <si>
    <t>6445/2024</t>
  </si>
  <si>
    <t>24997/2024</t>
  </si>
  <si>
    <t>COLONINHA</t>
  </si>
  <si>
    <t>27149/2024</t>
  </si>
  <si>
    <t>SAO JOAO DO RIO VERMELHO</t>
  </si>
  <si>
    <t>INGLESES</t>
  </si>
  <si>
    <t>UPA SUL</t>
  </si>
  <si>
    <t>cor amarela</t>
  </si>
  <si>
    <t>19005/2022</t>
  </si>
  <si>
    <t>Não se aplica</t>
  </si>
  <si>
    <t>Não é Tityus serrulatus OUTRA ESPÉCIE</t>
  </si>
  <si>
    <t>cor clara</t>
  </si>
  <si>
    <t>CÓRREGO GRANDE</t>
  </si>
  <si>
    <t>PRAIA BRAVA</t>
  </si>
  <si>
    <t>TAPERA</t>
  </si>
  <si>
    <t>03 INGLESES</t>
  </si>
  <si>
    <t>01 TAPERA</t>
  </si>
  <si>
    <t>03 VARGEM GRANDE</t>
  </si>
  <si>
    <t>01 INGLESES DO RIO VERMELHO</t>
  </si>
  <si>
    <t>04 PONTA DAS CANAS</t>
  </si>
  <si>
    <t>10 CACHOEIRA DO BOM JESUS</t>
  </si>
  <si>
    <t>01 CÓRREGO GRANDE</t>
  </si>
  <si>
    <t>EXCLUÍDO POR SER DO MESMO CASO DA FICHA 15946</t>
  </si>
  <si>
    <t>07 CANASVIEIRAS</t>
  </si>
  <si>
    <t>TOTAL  CASOS/REGISTROS</t>
  </si>
  <si>
    <t>ATENDIMENTO</t>
  </si>
  <si>
    <t>VARGEM DO BOM JESUS</t>
  </si>
  <si>
    <t>VARGEM GRANDE</t>
  </si>
  <si>
    <t>03 PRAIA BRAVA</t>
  </si>
  <si>
    <t>01 VARGEM DO BOM JESUS</t>
  </si>
  <si>
    <t>Rótulos de Coluna</t>
  </si>
  <si>
    <t>Rótulos de Linha</t>
  </si>
  <si>
    <t>Total Geral</t>
  </si>
  <si>
    <t>Contagem de Número de fichas</t>
  </si>
  <si>
    <t>03 NÃO PREENCHIDO</t>
  </si>
  <si>
    <t>04 Não se aplica</t>
  </si>
  <si>
    <t>03 UPA NORTE</t>
  </si>
  <si>
    <t>Bairro</t>
  </si>
  <si>
    <t>Humanas</t>
  </si>
  <si>
    <t>Informação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</si>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</sst>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  <border>
      <left/>
      <right/>
      <top style="double">
        <color theme="6" tint="-0.249977111117893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1" xfId="0" applyBorder="1" applyAlignment="1">
      <alignment horizontal="left"/>
    </xf>
    <xf numFmtId="0" fontId="0" fillId="0" borderId="1" xfId="0" applyBorder="1"/>
    <xf numFmtId="0" fontId="2" fillId="0" borderId="2" xfId="0" applyFont="1" applyBorder="1" applyAlignment="1">
      <alignment horizontal="left"/>
    </xf>
    <xf numFmtId="0" fontId="2" fillId="0" borderId="2" xfId="0" applyFont="1" applyBorder="1"/>
    <xf numFmtId="0" fontId="0" fillId="0" borderId="0" xfId="0" applyAlignment="1">
      <alignment horizontal="right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Distribuição Tityus serrulatus  em Florianópolis por bairros no período</a:t>
            </a:r>
            <a:r>
              <a:rPr lang="pt-BR" baseline="0"/>
              <a:t> de 2019 a 2024 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'tabela dinâmica'!$G$4</c:f>
              <c:strCache>
                <c:ptCount val="1"/>
                <c:pt idx="0">
                  <c:v>Humanas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'tabela dinâmica'!$F$5:$F$16</c:f>
              <c:strCache>
                <c:ptCount val="12"/>
                <c:pt idx="0">
                  <c:v>CACHOEIRA DO BOM JESUS</c:v>
                </c:pt>
                <c:pt idx="1">
                  <c:v>CANASVIEIRAS</c:v>
                </c:pt>
                <c:pt idx="2">
                  <c:v>CÓRREGO GRANDE</c:v>
                </c:pt>
                <c:pt idx="3">
                  <c:v>INGLESES</c:v>
                </c:pt>
                <c:pt idx="4">
                  <c:v>INGLESES DO RIO VERMELHO</c:v>
                </c:pt>
                <c:pt idx="5">
                  <c:v>Não preenchido</c:v>
                </c:pt>
                <c:pt idx="6">
                  <c:v>PONTA DAS CANAS</c:v>
                </c:pt>
                <c:pt idx="7">
                  <c:v>PRAIA BRAVA</c:v>
                </c:pt>
                <c:pt idx="8">
                  <c:v>TAPERA</c:v>
                </c:pt>
                <c:pt idx="9">
                  <c:v>UPA NORTE</c:v>
                </c:pt>
                <c:pt idx="10">
                  <c:v>VARGEM DO BOM JESUS</c:v>
                </c:pt>
                <c:pt idx="11">
                  <c:v>VARGEM GRANDE</c:v>
                </c:pt>
              </c:strCache>
            </c:strRef>
          </c:cat>
          <c:val>
            <c:numRef>
              <c:f>'tabela dinâmica'!$G$5:$G$16</c:f>
              <c:numCache>
                <c:formatCode>General</c:formatCode>
                <c:ptCount val="12"/>
                <c:pt idx="0">
                  <c:v>9</c:v>
                </c:pt>
                <c:pt idx="1">
                  <c:v>7</c:v>
                </c:pt>
                <c:pt idx="3">
                  <c:v>3</c:v>
                </c:pt>
                <c:pt idx="4">
                  <c:v>1</c:v>
                </c:pt>
                <c:pt idx="5">
                  <c:v>3</c:v>
                </c:pt>
                <c:pt idx="6">
                  <c:v>4</c:v>
                </c:pt>
                <c:pt idx="7">
                  <c:v>2</c:v>
                </c:pt>
                <c:pt idx="8">
                  <c:v>1</c:v>
                </c:pt>
                <c:pt idx="9">
                  <c:v>3</c:v>
                </c:pt>
                <c:pt idx="10">
                  <c:v>1</c:v>
                </c:pt>
                <c:pt idx="1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A1-475F-8CAA-0BB904C43626}"/>
            </c:ext>
          </c:extLst>
        </c:ser>
        <c:ser>
          <c:idx val="1"/>
          <c:order val="1"/>
          <c:tx>
            <c:strRef>
              <c:f>'tabela dinâmica'!$H$4</c:f>
              <c:strCache>
                <c:ptCount val="1"/>
                <c:pt idx="0">
                  <c:v>Informação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'tabela dinâmica'!$F$5:$F$16</c:f>
              <c:strCache>
                <c:ptCount val="12"/>
                <c:pt idx="0">
                  <c:v>CACHOEIRA DO BOM JESUS</c:v>
                </c:pt>
                <c:pt idx="1">
                  <c:v>CANASVIEIRAS</c:v>
                </c:pt>
                <c:pt idx="2">
                  <c:v>CÓRREGO GRANDE</c:v>
                </c:pt>
                <c:pt idx="3">
                  <c:v>INGLESES</c:v>
                </c:pt>
                <c:pt idx="4">
                  <c:v>INGLESES DO RIO VERMELHO</c:v>
                </c:pt>
                <c:pt idx="5">
                  <c:v>Não preenchido</c:v>
                </c:pt>
                <c:pt idx="6">
                  <c:v>PONTA DAS CANAS</c:v>
                </c:pt>
                <c:pt idx="7">
                  <c:v>PRAIA BRAVA</c:v>
                </c:pt>
                <c:pt idx="8">
                  <c:v>TAPERA</c:v>
                </c:pt>
                <c:pt idx="9">
                  <c:v>UPA NORTE</c:v>
                </c:pt>
                <c:pt idx="10">
                  <c:v>VARGEM DO BOM JESUS</c:v>
                </c:pt>
                <c:pt idx="11">
                  <c:v>VARGEM GRANDE</c:v>
                </c:pt>
              </c:strCache>
            </c:strRef>
          </c:cat>
          <c:val>
            <c:numRef>
              <c:f>'tabela dinâmica'!$H$5:$H$16</c:f>
              <c:numCache>
                <c:formatCode>General</c:formatCode>
                <c:ptCount val="12"/>
                <c:pt idx="0">
                  <c:v>1</c:v>
                </c:pt>
                <c:pt idx="2">
                  <c:v>1</c:v>
                </c:pt>
                <c:pt idx="5">
                  <c:v>4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1A1-475F-8CAA-0BB904C436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108625488"/>
        <c:axId val="1108624048"/>
        <c:axId val="0"/>
      </c:bar3DChart>
      <c:catAx>
        <c:axId val="11086254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08624048"/>
        <c:crosses val="autoZero"/>
        <c:auto val="1"/>
        <c:lblAlgn val="ctr"/>
        <c:lblOffset val="100"/>
        <c:noMultiLvlLbl val="0"/>
      </c:catAx>
      <c:valAx>
        <c:axId val="1108624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08625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761999</xdr:colOff>
      <xdr:row>17</xdr:row>
      <xdr:rowOff>180974</xdr:rowOff>
    </xdr:from>
    <xdr:to>
      <xdr:col>12</xdr:col>
      <xdr:colOff>400050</xdr:colOff>
      <xdr:row>37</xdr:row>
      <xdr:rowOff>47625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B4FED88C-469C-D244-34F0-C02187E4DF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aciana Mara da Silva Seemann" refreshedDate="45930.504392013892" createdVersion="8" refreshedVersion="8" minRefreshableVersion="3" recordCount="44" xr:uid="{18F3190A-BFC3-4B2E-A0AE-E0E8383D025A}">
  <cacheSource type="worksheet">
    <worksheetSource ref="A1:J45" sheet="Tityus serrulatus"/>
  </cacheSource>
  <cacheFields count="10">
    <cacheField name="Tipo de Ficha" numFmtId="0">
      <sharedItems count="2">
        <s v="Humana"/>
        <s v="Informacão"/>
      </sharedItems>
    </cacheField>
    <cacheField name="Número da Ficha" numFmtId="0">
      <sharedItems/>
    </cacheField>
    <cacheField name="Atendimento: Ano" numFmtId="0">
      <sharedItems containsSemiMixedTypes="0" containsString="0" containsNumber="1" containsInteger="1" minValue="2019" maxValue="2024" count="6">
        <n v="2019"/>
        <n v="2020"/>
        <n v="2021"/>
        <n v="2022"/>
        <n v="2023"/>
        <n v="2024"/>
      </sharedItems>
    </cacheField>
    <cacheField name="Atendimento: Mes" numFmtId="0">
      <sharedItems count="10">
        <s v="Janeiro"/>
        <s v="Fevereiro"/>
        <s v="Maio"/>
        <s v="Dezembro"/>
        <s v="Agosto"/>
        <s v="Setembro"/>
        <s v="Outubro"/>
        <s v="Março"/>
        <s v="Junho"/>
        <s v="Novembro"/>
      </sharedItems>
    </cacheField>
    <cacheField name="Solicitante: Município" numFmtId="0">
      <sharedItems/>
    </cacheField>
    <cacheField name="Exposição: Município" numFmtId="0">
      <sharedItems count="2">
        <s v="Florianópolis"/>
        <s v="Não se Aplica"/>
      </sharedItems>
    </cacheField>
    <cacheField name="Exposição: Bairro" numFmtId="0">
      <sharedItems count="13">
        <s v="TAPERA"/>
        <s v="INGLESES"/>
        <s v="PRAIA BRAVA"/>
        <s v="CANASVIEIRAS"/>
        <s v="Não preenchido"/>
        <s v="CACHOEIRA DO BOM JESUS"/>
        <s v="PONTA DAS CANAS"/>
        <s v="VARGEM DO BOM JESUS"/>
        <s v="VARGEM GRANDE"/>
        <s v="UPA NORTE"/>
        <s v="INGLESES DO RIO VERMELHO"/>
        <s v="CÓRREGO GRANDE"/>
        <s v="Não se aplica"/>
      </sharedItems>
    </cacheField>
    <cacheField name="ATENDIMENTO" numFmtId="0">
      <sharedItems containsNonDate="0" containsString="0" containsBlank="1"/>
    </cacheField>
    <cacheField name="Substância/Espécie (Total)" numFmtId="0">
      <sharedItems/>
    </cacheField>
    <cacheField name="Número de fichas" numFmtId="0">
      <sharedItems containsSemiMixedTypes="0" containsString="0" containsNumber="1" containsInteger="1" minValue="1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">
  <r>
    <x v="0"/>
    <s v="787/2019"/>
    <x v="0"/>
    <x v="0"/>
    <s v="Florianópolis"/>
    <x v="0"/>
    <x v="0"/>
    <m/>
    <s v="Tityus serrulatus"/>
    <n v="1"/>
  </r>
  <r>
    <x v="0"/>
    <s v="988/2019"/>
    <x v="0"/>
    <x v="0"/>
    <s v="Florianópolis"/>
    <x v="0"/>
    <x v="1"/>
    <m/>
    <s v="Tityus serrulatus"/>
    <n v="1"/>
  </r>
  <r>
    <x v="0"/>
    <s v="2459/2019"/>
    <x v="0"/>
    <x v="1"/>
    <s v="Florianópolis"/>
    <x v="0"/>
    <x v="2"/>
    <m/>
    <s v="Tityus serrulatus"/>
    <n v="1"/>
  </r>
  <r>
    <x v="0"/>
    <s v="7918/2019"/>
    <x v="0"/>
    <x v="2"/>
    <s v="Florianópolis"/>
    <x v="0"/>
    <x v="1"/>
    <m/>
    <s v="Tityus serrulatus"/>
    <n v="1"/>
  </r>
  <r>
    <x v="0"/>
    <s v="19512/2019"/>
    <x v="0"/>
    <x v="3"/>
    <s v="Florianópolis"/>
    <x v="0"/>
    <x v="3"/>
    <m/>
    <s v="Tityus serrulatus"/>
    <n v="1"/>
  </r>
  <r>
    <x v="0"/>
    <s v="11666/2020"/>
    <x v="1"/>
    <x v="4"/>
    <s v="Florianópolis"/>
    <x v="0"/>
    <x v="4"/>
    <m/>
    <s v="Tityus serrulatus"/>
    <n v="1"/>
  </r>
  <r>
    <x v="0"/>
    <s v="12165/2020"/>
    <x v="1"/>
    <x v="5"/>
    <s v="Florianópolis"/>
    <x v="0"/>
    <x v="5"/>
    <m/>
    <s v="Tityus serrulatus"/>
    <n v="1"/>
  </r>
  <r>
    <x v="0"/>
    <s v="12823/2020"/>
    <x v="1"/>
    <x v="5"/>
    <s v="Florianópolis"/>
    <x v="0"/>
    <x v="6"/>
    <m/>
    <s v="Tityus serrulatus"/>
    <n v="1"/>
  </r>
  <r>
    <x v="0"/>
    <s v="14707/2020"/>
    <x v="1"/>
    <x v="6"/>
    <s v="Florianópolis"/>
    <x v="0"/>
    <x v="5"/>
    <m/>
    <s v="Tityus serrulatus"/>
    <n v="1"/>
  </r>
  <r>
    <x v="0"/>
    <s v="14903/2020"/>
    <x v="1"/>
    <x v="6"/>
    <s v="Florianópolis"/>
    <x v="0"/>
    <x v="7"/>
    <m/>
    <s v="Tityus serrulatus"/>
    <n v="1"/>
  </r>
  <r>
    <x v="0"/>
    <s v="16698/2020"/>
    <x v="1"/>
    <x v="3"/>
    <s v="Florianópolis"/>
    <x v="0"/>
    <x v="8"/>
    <m/>
    <s v="Tityus serrulatus"/>
    <n v="1"/>
  </r>
  <r>
    <x v="0"/>
    <s v="4459/2021"/>
    <x v="2"/>
    <x v="7"/>
    <s v="Florianópolis"/>
    <x v="0"/>
    <x v="8"/>
    <m/>
    <s v="Tityus serrulatus"/>
    <n v="1"/>
  </r>
  <r>
    <x v="0"/>
    <s v="6937/2021"/>
    <x v="2"/>
    <x v="2"/>
    <s v="Florianópolis"/>
    <x v="0"/>
    <x v="5"/>
    <m/>
    <s v="Tityus serrulatus"/>
    <n v="1"/>
  </r>
  <r>
    <x v="0"/>
    <s v="9118/2021"/>
    <x v="2"/>
    <x v="8"/>
    <s v="Florianópolis"/>
    <x v="0"/>
    <x v="4"/>
    <m/>
    <s v="Tityus serrulatus"/>
    <n v="1"/>
  </r>
  <r>
    <x v="0"/>
    <s v="12169/2021"/>
    <x v="2"/>
    <x v="5"/>
    <s v="Florianópolis"/>
    <x v="0"/>
    <x v="6"/>
    <m/>
    <s v="Tityus serrulatus"/>
    <n v="1"/>
  </r>
  <r>
    <x v="0"/>
    <s v="12876/2021"/>
    <x v="2"/>
    <x v="5"/>
    <s v="Florianópolis"/>
    <x v="0"/>
    <x v="1"/>
    <m/>
    <s v="Tityus serrulatus"/>
    <n v="1"/>
  </r>
  <r>
    <x v="0"/>
    <s v="15576/2021"/>
    <x v="2"/>
    <x v="9"/>
    <s v="Florianópolis"/>
    <x v="0"/>
    <x v="8"/>
    <m/>
    <s v="Tityus serrulatus"/>
    <n v="1"/>
  </r>
  <r>
    <x v="0"/>
    <s v="19214/2021"/>
    <x v="2"/>
    <x v="3"/>
    <s v="Florianópolis"/>
    <x v="0"/>
    <x v="6"/>
    <m/>
    <s v="Tityus serrulatus"/>
    <n v="1"/>
  </r>
  <r>
    <x v="0"/>
    <s v="8177/2022"/>
    <x v="3"/>
    <x v="2"/>
    <s v="Florianópolis"/>
    <x v="0"/>
    <x v="9"/>
    <m/>
    <s v="Tityus serrulatus"/>
    <n v="1"/>
  </r>
  <r>
    <x v="0"/>
    <s v="12352/2022"/>
    <x v="3"/>
    <x v="4"/>
    <s v="Florianópolis"/>
    <x v="0"/>
    <x v="5"/>
    <m/>
    <s v="Tityus serrulatus"/>
    <n v="1"/>
  </r>
  <r>
    <x v="0"/>
    <s v="15942/2022"/>
    <x v="3"/>
    <x v="6"/>
    <s v="Florianópolis"/>
    <x v="0"/>
    <x v="5"/>
    <m/>
    <s v="Tityus serrulatus"/>
    <n v="1"/>
  </r>
  <r>
    <x v="0"/>
    <s v="15946/2022"/>
    <x v="3"/>
    <x v="6"/>
    <s v="Florianópolis"/>
    <x v="0"/>
    <x v="3"/>
    <m/>
    <s v="Tityus serrulatus"/>
    <n v="1"/>
  </r>
  <r>
    <x v="0"/>
    <s v="17819/2022"/>
    <x v="3"/>
    <x v="9"/>
    <s v="Florianópolis"/>
    <x v="0"/>
    <x v="10"/>
    <m/>
    <s v="Tityus serrulatus"/>
    <n v="1"/>
  </r>
  <r>
    <x v="0"/>
    <s v="19005/2022"/>
    <x v="3"/>
    <x v="3"/>
    <s v="Florianópolis"/>
    <x v="0"/>
    <x v="9"/>
    <m/>
    <s v="Tityus serrulatus"/>
    <n v="1"/>
  </r>
  <r>
    <x v="0"/>
    <s v="19007/2022"/>
    <x v="3"/>
    <x v="3"/>
    <s v="Florianópolis"/>
    <x v="0"/>
    <x v="9"/>
    <m/>
    <s v="Tityus serrulatus"/>
    <n v="1"/>
  </r>
  <r>
    <x v="0"/>
    <s v="2289/2023"/>
    <x v="4"/>
    <x v="0"/>
    <s v="Florianópolis"/>
    <x v="0"/>
    <x v="4"/>
    <m/>
    <s v="Tityus serrulatus"/>
    <n v="1"/>
  </r>
  <r>
    <x v="0"/>
    <s v="11158/2023"/>
    <x v="4"/>
    <x v="2"/>
    <s v="Florianópolis"/>
    <x v="0"/>
    <x v="5"/>
    <m/>
    <s v="Tityus serrulatus"/>
    <n v="1"/>
  </r>
  <r>
    <x v="0"/>
    <s v="17237/2023"/>
    <x v="4"/>
    <x v="5"/>
    <s v="Florianópolis"/>
    <x v="0"/>
    <x v="5"/>
    <m/>
    <s v="Tityus serrulatus"/>
    <n v="1"/>
  </r>
  <r>
    <x v="0"/>
    <s v="26115/2023"/>
    <x v="4"/>
    <x v="3"/>
    <s v="Florianópolis"/>
    <x v="0"/>
    <x v="2"/>
    <m/>
    <s v="Tityus serrulatus"/>
    <n v="1"/>
  </r>
  <r>
    <x v="0"/>
    <s v="6445/2024"/>
    <x v="5"/>
    <x v="7"/>
    <s v="Florianópolis"/>
    <x v="0"/>
    <x v="3"/>
    <m/>
    <s v="Tityus serrulatus"/>
    <n v="1"/>
  </r>
  <r>
    <x v="0"/>
    <s v="16309/2024"/>
    <x v="5"/>
    <x v="4"/>
    <s v="Florianópolis"/>
    <x v="0"/>
    <x v="5"/>
    <m/>
    <s v="Tityus serrulatus"/>
    <n v="1"/>
  </r>
  <r>
    <x v="0"/>
    <s v="17609/2024"/>
    <x v="5"/>
    <x v="4"/>
    <s v="Florianópolis"/>
    <x v="0"/>
    <x v="3"/>
    <m/>
    <s v="Tityus serrulatus"/>
    <n v="1"/>
  </r>
  <r>
    <x v="0"/>
    <s v="17769/2024"/>
    <x v="5"/>
    <x v="4"/>
    <s v="Florianópolis"/>
    <x v="0"/>
    <x v="3"/>
    <m/>
    <s v="Tityus serrulatus"/>
    <n v="1"/>
  </r>
  <r>
    <x v="0"/>
    <s v="20562/2024"/>
    <x v="5"/>
    <x v="6"/>
    <s v="Florianópolis"/>
    <x v="0"/>
    <x v="5"/>
    <m/>
    <s v="Tityus serrulatus"/>
    <n v="1"/>
  </r>
  <r>
    <x v="0"/>
    <s v="21071/2024"/>
    <x v="5"/>
    <x v="6"/>
    <s v="Florianópolis"/>
    <x v="0"/>
    <x v="3"/>
    <m/>
    <s v="Tityus serrulatus"/>
    <n v="1"/>
  </r>
  <r>
    <x v="0"/>
    <s v="25068/2024"/>
    <x v="5"/>
    <x v="9"/>
    <s v="Florianópolis"/>
    <x v="0"/>
    <x v="6"/>
    <m/>
    <s v="Tityus serrulatus"/>
    <n v="1"/>
  </r>
  <r>
    <x v="0"/>
    <s v="27457/2024"/>
    <x v="5"/>
    <x v="3"/>
    <s v="Florianópolis"/>
    <x v="0"/>
    <x v="3"/>
    <m/>
    <s v="Tityus serrulatus"/>
    <n v="1"/>
  </r>
  <r>
    <x v="1"/>
    <s v="1791/2020"/>
    <x v="1"/>
    <x v="0"/>
    <s v="Florianópolis"/>
    <x v="1"/>
    <x v="11"/>
    <m/>
    <s v="Tityus serrulatus"/>
    <n v="1"/>
  </r>
  <r>
    <x v="1"/>
    <s v="1993/2021"/>
    <x v="2"/>
    <x v="1"/>
    <s v="Florianópolis"/>
    <x v="1"/>
    <x v="2"/>
    <m/>
    <s v="Tityus serrulatus"/>
    <n v="1"/>
  </r>
  <r>
    <x v="1"/>
    <s v="8005/2021"/>
    <x v="2"/>
    <x v="2"/>
    <s v="Florianópolis"/>
    <x v="1"/>
    <x v="12"/>
    <m/>
    <s v="Tityus serrulatus"/>
    <n v="1"/>
  </r>
  <r>
    <x v="1"/>
    <s v="9188/2022"/>
    <x v="3"/>
    <x v="8"/>
    <s v="Florianópolis"/>
    <x v="1"/>
    <x v="12"/>
    <m/>
    <s v="Tityus serrulatus"/>
    <n v="1"/>
  </r>
  <r>
    <x v="1"/>
    <s v="18839/2024"/>
    <x v="5"/>
    <x v="5"/>
    <s v="Florianópolis"/>
    <x v="1"/>
    <x v="5"/>
    <m/>
    <s v="Tityus serrulatus"/>
    <n v="1"/>
  </r>
  <r>
    <x v="1"/>
    <s v="24507/2024"/>
    <x v="5"/>
    <x v="9"/>
    <s v="Florianópolis"/>
    <x v="1"/>
    <x v="12"/>
    <m/>
    <s v="Tityus serrulatus"/>
    <n v="1"/>
  </r>
  <r>
    <x v="1"/>
    <s v="25699/2024"/>
    <x v="5"/>
    <x v="9"/>
    <s v="Florianópolis"/>
    <x v="1"/>
    <x v="12"/>
    <m/>
    <s v="Tityus serrulatus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ABCAC7-E264-40F7-81D6-E9C159D6586D}" name="Tabela dinâmica4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23:D63" firstHeaderRow="1" firstDataRow="2" firstDataCol="1"/>
  <pivotFields count="10">
    <pivotField axis="axisCol" showAll="0">
      <items count="3">
        <item x="0"/>
        <item x="1"/>
        <item t="default"/>
      </items>
    </pivotField>
    <pivotField showAll="0"/>
    <pivotField axis="axisRow" showAll="0">
      <items count="7">
        <item x="0"/>
        <item x="1"/>
        <item x="2"/>
        <item x="3"/>
        <item x="4"/>
        <item x="5"/>
        <item t="default"/>
      </items>
    </pivotField>
    <pivotField axis="axisRow" showAll="0">
      <items count="11">
        <item x="0"/>
        <item x="1"/>
        <item x="7"/>
        <item x="2"/>
        <item x="8"/>
        <item x="4"/>
        <item x="5"/>
        <item x="6"/>
        <item x="9"/>
        <item x="3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>
      <items count="14">
        <item x="5"/>
        <item x="3"/>
        <item x="11"/>
        <item x="1"/>
        <item x="10"/>
        <item x="4"/>
        <item x="12"/>
        <item x="6"/>
        <item x="2"/>
        <item x="0"/>
        <item x="9"/>
        <item x="7"/>
        <item x="8"/>
        <item t="default"/>
      </items>
    </pivotField>
    <pivotField showAll="0"/>
    <pivotField showAll="0"/>
    <pivotField dataField="1" showAll="0"/>
  </pivotFields>
  <rowFields count="2">
    <field x="2"/>
    <field x="3"/>
  </rowFields>
  <rowItems count="39">
    <i>
      <x/>
    </i>
    <i r="1">
      <x/>
    </i>
    <i r="1">
      <x v="1"/>
    </i>
    <i r="1">
      <x v="3"/>
    </i>
    <i r="1">
      <x v="9"/>
    </i>
    <i>
      <x v="1"/>
    </i>
    <i r="1">
      <x/>
    </i>
    <i r="1">
      <x v="5"/>
    </i>
    <i r="1">
      <x v="6"/>
    </i>
    <i r="1">
      <x v="7"/>
    </i>
    <i r="1">
      <x v="9"/>
    </i>
    <i>
      <x v="2"/>
    </i>
    <i r="1">
      <x v="1"/>
    </i>
    <i r="1">
      <x v="2"/>
    </i>
    <i r="1">
      <x v="3"/>
    </i>
    <i r="1">
      <x v="4"/>
    </i>
    <i r="1">
      <x v="6"/>
    </i>
    <i r="1">
      <x v="8"/>
    </i>
    <i r="1">
      <x v="9"/>
    </i>
    <i>
      <x v="3"/>
    </i>
    <i r="1">
      <x v="3"/>
    </i>
    <i r="1">
      <x v="4"/>
    </i>
    <i r="1">
      <x v="5"/>
    </i>
    <i r="1">
      <x v="7"/>
    </i>
    <i r="1">
      <x v="8"/>
    </i>
    <i r="1">
      <x v="9"/>
    </i>
    <i>
      <x v="4"/>
    </i>
    <i r="1">
      <x/>
    </i>
    <i r="1">
      <x v="3"/>
    </i>
    <i r="1">
      <x v="6"/>
    </i>
    <i r="1">
      <x v="9"/>
    </i>
    <i>
      <x v="5"/>
    </i>
    <i r="1">
      <x v="2"/>
    </i>
    <i r="1">
      <x v="5"/>
    </i>
    <i r="1">
      <x v="6"/>
    </i>
    <i r="1">
      <x v="7"/>
    </i>
    <i r="1">
      <x v="8"/>
    </i>
    <i r="1">
      <x v="9"/>
    </i>
    <i t="grand">
      <x/>
    </i>
  </rowItems>
  <colFields count="1">
    <field x="0"/>
  </colFields>
  <colItems count="3">
    <i>
      <x/>
    </i>
    <i>
      <x v="1"/>
    </i>
    <i t="grand">
      <x/>
    </i>
  </colItems>
  <dataFields count="1">
    <dataField name="Contagem de Número de fichas" fld="9" subtotal="count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677953-BAC7-474A-B83D-F43F82122432}" name="Tabela dinâ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8">
  <location ref="A3:D18" firstHeaderRow="1" firstDataRow="2" firstDataCol="1"/>
  <pivotFields count="10">
    <pivotField name="Legenda"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>
      <items count="3">
        <item x="0"/>
        <item x="1"/>
        <item t="default"/>
      </items>
    </pivotField>
    <pivotField axis="axisRow" showAll="0">
      <items count="14">
        <item x="5"/>
        <item x="3"/>
        <item x="11"/>
        <item x="1"/>
        <item x="10"/>
        <item x="4"/>
        <item x="12"/>
        <item x="6"/>
        <item x="2"/>
        <item x="0"/>
        <item x="9"/>
        <item x="7"/>
        <item x="8"/>
        <item t="default"/>
      </items>
    </pivotField>
    <pivotField showAll="0"/>
    <pivotField showAll="0"/>
    <pivotField dataField="1" showAll="0"/>
  </pivotFields>
  <rowFields count="1">
    <field x="6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0"/>
  </colFields>
  <colItems count="3">
    <i>
      <x/>
    </i>
    <i>
      <x v="1"/>
    </i>
    <i t="grand">
      <x/>
    </i>
  </colItems>
  <dataFields count="1">
    <dataField name="Contagem de Número de fichas" fld="9" subtotal="count" baseField="0" baseItem="0"/>
  </dataFields>
  <chartFormats count="8">
    <chartFormat chart="12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2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5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5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8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8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37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37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67EEF-9B2E-4C22-AF86-10D5540E8609}">
  <dimension ref="A3:I63"/>
  <sheetViews>
    <sheetView tabSelected="1" topLeftCell="A16" workbookViewId="0">
      <selection activeCell="O29" sqref="O29"/>
    </sheetView>
  </sheetViews>
  <sheetFormatPr defaultRowHeight="15.75" x14ac:dyDescent="0.25"/>
  <cols>
    <col min="1" max="1" width="28.125" bestFit="1" customWidth="1"/>
    <col min="2" max="2" width="17.75" bestFit="1" customWidth="1"/>
    <col min="3" max="3" width="10" bestFit="1" customWidth="1"/>
    <col min="4" max="4" width="9.875" bestFit="1" customWidth="1"/>
    <col min="6" max="6" width="25.5" bestFit="1" customWidth="1"/>
    <col min="8" max="8" width="10" bestFit="1" customWidth="1"/>
  </cols>
  <sheetData>
    <row r="3" spans="1:9" x14ac:dyDescent="0.25">
      <c r="A3" s="2" t="s">
        <v>113</v>
      </c>
      <c r="B3" s="2" t="s">
        <v>110</v>
      </c>
    </row>
    <row r="4" spans="1:9" x14ac:dyDescent="0.25">
      <c r="A4" s="2" t="s">
        <v>111</v>
      </c>
      <c r="B4" t="s">
        <v>9</v>
      </c>
      <c r="C4" t="s">
        <v>61</v>
      </c>
      <c r="D4" t="s">
        <v>112</v>
      </c>
      <c r="F4" t="s">
        <v>117</v>
      </c>
      <c r="G4" s="9" t="s">
        <v>118</v>
      </c>
      <c r="H4" s="9" t="s">
        <v>119</v>
      </c>
      <c r="I4" s="9" t="s">
        <v>120</v>
      </c>
    </row>
    <row r="5" spans="1:9" x14ac:dyDescent="0.25">
      <c r="A5" s="3" t="s">
        <v>43</v>
      </c>
      <c r="B5">
        <v>9</v>
      </c>
      <c r="C5">
        <v>1</v>
      </c>
      <c r="D5">
        <v>10</v>
      </c>
      <c r="F5" s="5" t="s">
        <v>43</v>
      </c>
      <c r="G5" s="6">
        <v>9</v>
      </c>
      <c r="H5" s="6">
        <v>1</v>
      </c>
      <c r="I5" s="6">
        <v>10</v>
      </c>
    </row>
    <row r="6" spans="1:9" x14ac:dyDescent="0.25">
      <c r="A6" s="3" t="s">
        <v>22</v>
      </c>
      <c r="B6">
        <v>7</v>
      </c>
      <c r="D6">
        <v>7</v>
      </c>
      <c r="F6" s="5" t="s">
        <v>22</v>
      </c>
      <c r="G6" s="6">
        <v>7</v>
      </c>
      <c r="H6" s="6"/>
      <c r="I6" s="6">
        <v>7</v>
      </c>
    </row>
    <row r="7" spans="1:9" x14ac:dyDescent="0.25">
      <c r="A7" s="3" t="s">
        <v>92</v>
      </c>
      <c r="C7">
        <v>1</v>
      </c>
      <c r="D7">
        <v>1</v>
      </c>
      <c r="F7" s="5" t="s">
        <v>92</v>
      </c>
      <c r="G7" s="6"/>
      <c r="H7" s="6">
        <v>1</v>
      </c>
      <c r="I7" s="6">
        <v>1</v>
      </c>
    </row>
    <row r="8" spans="1:9" x14ac:dyDescent="0.25">
      <c r="A8" s="3" t="s">
        <v>85</v>
      </c>
      <c r="B8">
        <v>3</v>
      </c>
      <c r="D8">
        <v>3</v>
      </c>
      <c r="F8" s="5" t="s">
        <v>85</v>
      </c>
      <c r="G8" s="6">
        <v>3</v>
      </c>
      <c r="H8" s="6"/>
      <c r="I8" s="6">
        <v>3</v>
      </c>
    </row>
    <row r="9" spans="1:9" x14ac:dyDescent="0.25">
      <c r="A9" s="3" t="s">
        <v>48</v>
      </c>
      <c r="B9">
        <v>1</v>
      </c>
      <c r="D9">
        <v>1</v>
      </c>
      <c r="F9" s="5" t="s">
        <v>48</v>
      </c>
      <c r="G9" s="6">
        <v>1</v>
      </c>
      <c r="H9" s="6"/>
      <c r="I9" s="6">
        <v>1</v>
      </c>
    </row>
    <row r="10" spans="1:9" x14ac:dyDescent="0.25">
      <c r="A10" s="3" t="s">
        <v>17</v>
      </c>
      <c r="B10">
        <v>3</v>
      </c>
      <c r="D10">
        <v>3</v>
      </c>
      <c r="F10" s="5" t="s">
        <v>17</v>
      </c>
      <c r="G10" s="6">
        <v>3</v>
      </c>
      <c r="H10" s="6">
        <v>4</v>
      </c>
      <c r="I10" s="6">
        <v>7</v>
      </c>
    </row>
    <row r="11" spans="1:9" x14ac:dyDescent="0.25">
      <c r="A11" s="3" t="s">
        <v>89</v>
      </c>
      <c r="C11">
        <v>4</v>
      </c>
      <c r="D11">
        <v>4</v>
      </c>
      <c r="F11" s="5" t="s">
        <v>38</v>
      </c>
      <c r="G11" s="6">
        <v>4</v>
      </c>
      <c r="H11" s="6"/>
      <c r="I11" s="6">
        <v>4</v>
      </c>
    </row>
    <row r="12" spans="1:9" x14ac:dyDescent="0.25">
      <c r="A12" s="3" t="s">
        <v>38</v>
      </c>
      <c r="B12">
        <v>4</v>
      </c>
      <c r="D12">
        <v>4</v>
      </c>
      <c r="F12" s="5" t="s">
        <v>93</v>
      </c>
      <c r="G12" s="6">
        <v>2</v>
      </c>
      <c r="H12" s="6">
        <v>1</v>
      </c>
      <c r="I12" s="6">
        <v>3</v>
      </c>
    </row>
    <row r="13" spans="1:9" x14ac:dyDescent="0.25">
      <c r="A13" s="3" t="s">
        <v>93</v>
      </c>
      <c r="B13">
        <v>2</v>
      </c>
      <c r="C13">
        <v>1</v>
      </c>
      <c r="D13">
        <v>3</v>
      </c>
      <c r="F13" s="5" t="s">
        <v>94</v>
      </c>
      <c r="G13" s="6">
        <v>1</v>
      </c>
      <c r="H13" s="6"/>
      <c r="I13" s="6">
        <v>1</v>
      </c>
    </row>
    <row r="14" spans="1:9" x14ac:dyDescent="0.25">
      <c r="A14" s="3" t="s">
        <v>94</v>
      </c>
      <c r="B14">
        <v>1</v>
      </c>
      <c r="D14">
        <v>1</v>
      </c>
      <c r="F14" s="5" t="s">
        <v>70</v>
      </c>
      <c r="G14" s="6">
        <v>3</v>
      </c>
      <c r="H14" s="6"/>
      <c r="I14" s="6">
        <v>3</v>
      </c>
    </row>
    <row r="15" spans="1:9" x14ac:dyDescent="0.25">
      <c r="A15" s="3" t="s">
        <v>70</v>
      </c>
      <c r="B15">
        <v>3</v>
      </c>
      <c r="D15">
        <v>3</v>
      </c>
      <c r="F15" s="5" t="s">
        <v>106</v>
      </c>
      <c r="G15" s="6">
        <v>1</v>
      </c>
      <c r="H15" s="6"/>
      <c r="I15" s="6">
        <v>1</v>
      </c>
    </row>
    <row r="16" spans="1:9" ht="16.5" thickBot="1" x14ac:dyDescent="0.3">
      <c r="A16" s="3" t="s">
        <v>106</v>
      </c>
      <c r="B16">
        <v>1</v>
      </c>
      <c r="D16">
        <v>1</v>
      </c>
      <c r="F16" s="5" t="s">
        <v>107</v>
      </c>
      <c r="G16" s="6">
        <v>3</v>
      </c>
      <c r="H16" s="6"/>
      <c r="I16" s="6">
        <v>3</v>
      </c>
    </row>
    <row r="17" spans="1:9" ht="16.5" thickTop="1" x14ac:dyDescent="0.25">
      <c r="A17" s="3" t="s">
        <v>107</v>
      </c>
      <c r="B17">
        <v>3</v>
      </c>
      <c r="D17">
        <v>3</v>
      </c>
      <c r="F17" s="7" t="s">
        <v>112</v>
      </c>
      <c r="G17" s="8">
        <v>37</v>
      </c>
      <c r="H17" s="8">
        <v>7</v>
      </c>
      <c r="I17" s="8">
        <v>44</v>
      </c>
    </row>
    <row r="18" spans="1:9" x14ac:dyDescent="0.25">
      <c r="A18" s="3" t="s">
        <v>112</v>
      </c>
      <c r="B18">
        <v>37</v>
      </c>
      <c r="C18">
        <v>7</v>
      </c>
      <c r="D18">
        <v>44</v>
      </c>
    </row>
    <row r="23" spans="1:9" x14ac:dyDescent="0.25">
      <c r="A23" s="2" t="s">
        <v>113</v>
      </c>
      <c r="B23" s="2" t="s">
        <v>110</v>
      </c>
    </row>
    <row r="24" spans="1:9" x14ac:dyDescent="0.25">
      <c r="A24" s="2" t="s">
        <v>111</v>
      </c>
      <c r="B24" t="s">
        <v>9</v>
      </c>
      <c r="C24" t="s">
        <v>61</v>
      </c>
      <c r="D24" t="s">
        <v>112</v>
      </c>
    </row>
    <row r="25" spans="1:9" x14ac:dyDescent="0.25">
      <c r="A25" s="3">
        <v>2019</v>
      </c>
      <c r="B25">
        <v>5</v>
      </c>
      <c r="D25">
        <v>5</v>
      </c>
    </row>
    <row r="26" spans="1:9" x14ac:dyDescent="0.25">
      <c r="A26" s="4" t="s">
        <v>11</v>
      </c>
      <c r="B26">
        <v>2</v>
      </c>
      <c r="D26">
        <v>2</v>
      </c>
    </row>
    <row r="27" spans="1:9" x14ac:dyDescent="0.25">
      <c r="A27" s="4" t="s">
        <v>16</v>
      </c>
      <c r="B27">
        <v>1</v>
      </c>
      <c r="D27">
        <v>1</v>
      </c>
    </row>
    <row r="28" spans="1:9" x14ac:dyDescent="0.25">
      <c r="A28" s="4" t="s">
        <v>34</v>
      </c>
      <c r="B28">
        <v>1</v>
      </c>
      <c r="D28">
        <v>1</v>
      </c>
    </row>
    <row r="29" spans="1:9" x14ac:dyDescent="0.25">
      <c r="A29" s="4" t="s">
        <v>21</v>
      </c>
      <c r="B29">
        <v>1</v>
      </c>
      <c r="D29">
        <v>1</v>
      </c>
    </row>
    <row r="30" spans="1:9" x14ac:dyDescent="0.25">
      <c r="A30" s="3">
        <v>2020</v>
      </c>
      <c r="B30">
        <v>6</v>
      </c>
      <c r="C30">
        <v>1</v>
      </c>
      <c r="D30">
        <v>7</v>
      </c>
    </row>
    <row r="31" spans="1:9" x14ac:dyDescent="0.25">
      <c r="A31" s="4" t="s">
        <v>11</v>
      </c>
      <c r="C31">
        <v>1</v>
      </c>
      <c r="D31">
        <v>1</v>
      </c>
    </row>
    <row r="32" spans="1:9" x14ac:dyDescent="0.25">
      <c r="A32" s="4" t="s">
        <v>18</v>
      </c>
      <c r="B32">
        <v>1</v>
      </c>
      <c r="D32">
        <v>1</v>
      </c>
    </row>
    <row r="33" spans="1:4" x14ac:dyDescent="0.25">
      <c r="A33" s="4" t="s">
        <v>25</v>
      </c>
      <c r="B33">
        <v>2</v>
      </c>
      <c r="D33">
        <v>2</v>
      </c>
    </row>
    <row r="34" spans="1:4" x14ac:dyDescent="0.25">
      <c r="A34" s="4" t="s">
        <v>28</v>
      </c>
      <c r="B34">
        <v>2</v>
      </c>
      <c r="D34">
        <v>2</v>
      </c>
    </row>
    <row r="35" spans="1:4" x14ac:dyDescent="0.25">
      <c r="A35" s="4" t="s">
        <v>21</v>
      </c>
      <c r="B35">
        <v>1</v>
      </c>
      <c r="D35">
        <v>1</v>
      </c>
    </row>
    <row r="36" spans="1:4" x14ac:dyDescent="0.25">
      <c r="A36" s="3">
        <v>2021</v>
      </c>
      <c r="B36">
        <v>7</v>
      </c>
      <c r="C36">
        <v>2</v>
      </c>
      <c r="D36">
        <v>9</v>
      </c>
    </row>
    <row r="37" spans="1:4" x14ac:dyDescent="0.25">
      <c r="A37" s="4" t="s">
        <v>16</v>
      </c>
      <c r="C37">
        <v>1</v>
      </c>
      <c r="D37">
        <v>1</v>
      </c>
    </row>
    <row r="38" spans="1:4" x14ac:dyDescent="0.25">
      <c r="A38" s="4" t="s">
        <v>32</v>
      </c>
      <c r="B38">
        <v>1</v>
      </c>
      <c r="D38">
        <v>1</v>
      </c>
    </row>
    <row r="39" spans="1:4" x14ac:dyDescent="0.25">
      <c r="A39" s="4" t="s">
        <v>34</v>
      </c>
      <c r="B39">
        <v>1</v>
      </c>
      <c r="C39">
        <v>1</v>
      </c>
      <c r="D39">
        <v>2</v>
      </c>
    </row>
    <row r="40" spans="1:4" x14ac:dyDescent="0.25">
      <c r="A40" s="4" t="s">
        <v>36</v>
      </c>
      <c r="B40">
        <v>1</v>
      </c>
      <c r="D40">
        <v>1</v>
      </c>
    </row>
    <row r="41" spans="1:4" x14ac:dyDescent="0.25">
      <c r="A41" s="4" t="s">
        <v>25</v>
      </c>
      <c r="B41">
        <v>2</v>
      </c>
      <c r="D41">
        <v>2</v>
      </c>
    </row>
    <row r="42" spans="1:4" x14ac:dyDescent="0.25">
      <c r="A42" s="4" t="s">
        <v>19</v>
      </c>
      <c r="B42">
        <v>1</v>
      </c>
      <c r="D42">
        <v>1</v>
      </c>
    </row>
    <row r="43" spans="1:4" x14ac:dyDescent="0.25">
      <c r="A43" s="4" t="s">
        <v>21</v>
      </c>
      <c r="B43">
        <v>1</v>
      </c>
      <c r="D43">
        <v>1</v>
      </c>
    </row>
    <row r="44" spans="1:4" x14ac:dyDescent="0.25">
      <c r="A44" s="3">
        <v>2022</v>
      </c>
      <c r="B44">
        <v>7</v>
      </c>
      <c r="C44">
        <v>1</v>
      </c>
      <c r="D44">
        <v>8</v>
      </c>
    </row>
    <row r="45" spans="1:4" x14ac:dyDescent="0.25">
      <c r="A45" s="4" t="s">
        <v>34</v>
      </c>
      <c r="B45">
        <v>1</v>
      </c>
      <c r="D45">
        <v>1</v>
      </c>
    </row>
    <row r="46" spans="1:4" x14ac:dyDescent="0.25">
      <c r="A46" s="4" t="s">
        <v>36</v>
      </c>
      <c r="C46">
        <v>1</v>
      </c>
      <c r="D46">
        <v>1</v>
      </c>
    </row>
    <row r="47" spans="1:4" x14ac:dyDescent="0.25">
      <c r="A47" s="4" t="s">
        <v>18</v>
      </c>
      <c r="B47">
        <v>1</v>
      </c>
      <c r="D47">
        <v>1</v>
      </c>
    </row>
    <row r="48" spans="1:4" x14ac:dyDescent="0.25">
      <c r="A48" s="4" t="s">
        <v>28</v>
      </c>
      <c r="B48">
        <v>2</v>
      </c>
      <c r="D48">
        <v>2</v>
      </c>
    </row>
    <row r="49" spans="1:4" x14ac:dyDescent="0.25">
      <c r="A49" s="4" t="s">
        <v>19</v>
      </c>
      <c r="B49">
        <v>1</v>
      </c>
      <c r="D49">
        <v>1</v>
      </c>
    </row>
    <row r="50" spans="1:4" x14ac:dyDescent="0.25">
      <c r="A50" s="4" t="s">
        <v>21</v>
      </c>
      <c r="B50">
        <v>2</v>
      </c>
      <c r="D50">
        <v>2</v>
      </c>
    </row>
    <row r="51" spans="1:4" x14ac:dyDescent="0.25">
      <c r="A51" s="3">
        <v>2023</v>
      </c>
      <c r="B51">
        <v>4</v>
      </c>
      <c r="D51">
        <v>4</v>
      </c>
    </row>
    <row r="52" spans="1:4" x14ac:dyDescent="0.25">
      <c r="A52" s="4" t="s">
        <v>11</v>
      </c>
      <c r="B52">
        <v>1</v>
      </c>
      <c r="D52">
        <v>1</v>
      </c>
    </row>
    <row r="53" spans="1:4" x14ac:dyDescent="0.25">
      <c r="A53" s="4" t="s">
        <v>34</v>
      </c>
      <c r="B53">
        <v>1</v>
      </c>
      <c r="D53">
        <v>1</v>
      </c>
    </row>
    <row r="54" spans="1:4" x14ac:dyDescent="0.25">
      <c r="A54" s="4" t="s">
        <v>25</v>
      </c>
      <c r="B54">
        <v>1</v>
      </c>
      <c r="D54">
        <v>1</v>
      </c>
    </row>
    <row r="55" spans="1:4" x14ac:dyDescent="0.25">
      <c r="A55" s="4" t="s">
        <v>21</v>
      </c>
      <c r="B55">
        <v>1</v>
      </c>
      <c r="D55">
        <v>1</v>
      </c>
    </row>
    <row r="56" spans="1:4" x14ac:dyDescent="0.25">
      <c r="A56" s="3">
        <v>2024</v>
      </c>
      <c r="B56">
        <v>8</v>
      </c>
      <c r="C56">
        <v>3</v>
      </c>
      <c r="D56">
        <v>11</v>
      </c>
    </row>
    <row r="57" spans="1:4" x14ac:dyDescent="0.25">
      <c r="A57" s="4" t="s">
        <v>32</v>
      </c>
      <c r="B57">
        <v>1</v>
      </c>
      <c r="D57">
        <v>1</v>
      </c>
    </row>
    <row r="58" spans="1:4" x14ac:dyDescent="0.25">
      <c r="A58" s="4" t="s">
        <v>18</v>
      </c>
      <c r="B58">
        <v>3</v>
      </c>
      <c r="D58">
        <v>3</v>
      </c>
    </row>
    <row r="59" spans="1:4" x14ac:dyDescent="0.25">
      <c r="A59" s="4" t="s">
        <v>25</v>
      </c>
      <c r="C59">
        <v>1</v>
      </c>
      <c r="D59">
        <v>1</v>
      </c>
    </row>
    <row r="60" spans="1:4" x14ac:dyDescent="0.25">
      <c r="A60" s="4" t="s">
        <v>28</v>
      </c>
      <c r="B60">
        <v>2</v>
      </c>
      <c r="D60">
        <v>2</v>
      </c>
    </row>
    <row r="61" spans="1:4" x14ac:dyDescent="0.25">
      <c r="A61" s="4" t="s">
        <v>19</v>
      </c>
      <c r="B61">
        <v>1</v>
      </c>
      <c r="C61">
        <v>2</v>
      </c>
      <c r="D61">
        <v>3</v>
      </c>
    </row>
    <row r="62" spans="1:4" x14ac:dyDescent="0.25">
      <c r="A62" s="4" t="s">
        <v>21</v>
      </c>
      <c r="B62">
        <v>1</v>
      </c>
      <c r="D62">
        <v>1</v>
      </c>
    </row>
    <row r="63" spans="1:4" x14ac:dyDescent="0.25">
      <c r="A63" s="3" t="s">
        <v>112</v>
      </c>
      <c r="B63">
        <v>37</v>
      </c>
      <c r="C63">
        <v>7</v>
      </c>
      <c r="D63">
        <v>44</v>
      </c>
    </row>
  </sheetData>
  <pageMargins left="0.511811024" right="0.511811024" top="0.78740157499999996" bottom="0.78740157499999996" header="0.31496062000000002" footer="0.3149606200000000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FC9D2-4A96-4997-9D9B-911E1950D739}">
  <dimension ref="A1:J64"/>
  <sheetViews>
    <sheetView topLeftCell="A34" workbookViewId="0">
      <selection activeCell="I56" sqref="I56"/>
    </sheetView>
  </sheetViews>
  <sheetFormatPr defaultRowHeight="15.75" x14ac:dyDescent="0.25"/>
  <cols>
    <col min="1" max="1" width="14.875" customWidth="1"/>
    <col min="2" max="2" width="15.5" customWidth="1"/>
    <col min="3" max="3" width="17.125" customWidth="1"/>
    <col min="4" max="4" width="18.125" customWidth="1"/>
    <col min="5" max="5" width="15.25" customWidth="1"/>
    <col min="6" max="6" width="20.125" customWidth="1"/>
    <col min="7" max="7" width="27" customWidth="1"/>
    <col min="8" max="8" width="15.5" customWidth="1"/>
    <col min="9" max="9" width="20.875" customWidth="1"/>
    <col min="10" max="10" width="22.37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105</v>
      </c>
      <c r="I1" t="s">
        <v>7</v>
      </c>
      <c r="J1" t="s">
        <v>8</v>
      </c>
    </row>
    <row r="2" spans="1:10" x14ac:dyDescent="0.25">
      <c r="A2" t="s">
        <v>9</v>
      </c>
      <c r="B2" t="s">
        <v>10</v>
      </c>
      <c r="C2">
        <v>2019</v>
      </c>
      <c r="D2" t="s">
        <v>11</v>
      </c>
      <c r="E2" t="s">
        <v>12</v>
      </c>
      <c r="F2" t="s">
        <v>12</v>
      </c>
      <c r="G2" t="s">
        <v>94</v>
      </c>
      <c r="I2" t="s">
        <v>13</v>
      </c>
      <c r="J2">
        <v>1</v>
      </c>
    </row>
    <row r="3" spans="1:10" x14ac:dyDescent="0.25">
      <c r="A3" t="s">
        <v>9</v>
      </c>
      <c r="B3" t="s">
        <v>14</v>
      </c>
      <c r="C3">
        <v>2019</v>
      </c>
      <c r="D3" t="s">
        <v>11</v>
      </c>
      <c r="E3" t="s">
        <v>12</v>
      </c>
      <c r="F3" t="s">
        <v>12</v>
      </c>
      <c r="G3" t="s">
        <v>85</v>
      </c>
      <c r="I3" t="s">
        <v>13</v>
      </c>
      <c r="J3">
        <v>1</v>
      </c>
    </row>
    <row r="4" spans="1:10" x14ac:dyDescent="0.25">
      <c r="A4" t="s">
        <v>9</v>
      </c>
      <c r="B4" t="s">
        <v>15</v>
      </c>
      <c r="C4">
        <v>2019</v>
      </c>
      <c r="D4" t="s">
        <v>16</v>
      </c>
      <c r="E4" t="s">
        <v>12</v>
      </c>
      <c r="F4" t="s">
        <v>12</v>
      </c>
      <c r="G4" t="s">
        <v>93</v>
      </c>
      <c r="I4" t="s">
        <v>13</v>
      </c>
      <c r="J4">
        <v>1</v>
      </c>
    </row>
    <row r="5" spans="1:10" x14ac:dyDescent="0.25">
      <c r="A5" t="s">
        <v>9</v>
      </c>
      <c r="B5" t="s">
        <v>72</v>
      </c>
      <c r="C5">
        <v>2019</v>
      </c>
      <c r="D5" t="s">
        <v>34</v>
      </c>
      <c r="E5" t="s">
        <v>12</v>
      </c>
      <c r="F5" t="s">
        <v>12</v>
      </c>
      <c r="G5" t="s">
        <v>85</v>
      </c>
      <c r="I5" t="s">
        <v>13</v>
      </c>
      <c r="J5">
        <v>1</v>
      </c>
    </row>
    <row r="6" spans="1:10" x14ac:dyDescent="0.25">
      <c r="A6" t="s">
        <v>9</v>
      </c>
      <c r="B6" t="s">
        <v>20</v>
      </c>
      <c r="C6">
        <v>2019</v>
      </c>
      <c r="D6" t="s">
        <v>21</v>
      </c>
      <c r="E6" t="s">
        <v>12</v>
      </c>
      <c r="F6" t="s">
        <v>12</v>
      </c>
      <c r="G6" t="s">
        <v>22</v>
      </c>
      <c r="I6" t="s">
        <v>13</v>
      </c>
      <c r="J6">
        <v>1</v>
      </c>
    </row>
    <row r="7" spans="1:10" x14ac:dyDescent="0.25">
      <c r="A7" t="s">
        <v>9</v>
      </c>
      <c r="B7" t="s">
        <v>23</v>
      </c>
      <c r="C7">
        <v>2020</v>
      </c>
      <c r="D7" t="s">
        <v>18</v>
      </c>
      <c r="E7" t="s">
        <v>12</v>
      </c>
      <c r="F7" t="s">
        <v>12</v>
      </c>
      <c r="G7" s="1" t="s">
        <v>17</v>
      </c>
      <c r="H7" s="1"/>
      <c r="I7" t="s">
        <v>13</v>
      </c>
      <c r="J7">
        <v>1</v>
      </c>
    </row>
    <row r="8" spans="1:10" x14ac:dyDescent="0.25">
      <c r="A8" t="s">
        <v>9</v>
      </c>
      <c r="B8" t="s">
        <v>24</v>
      </c>
      <c r="C8">
        <v>2020</v>
      </c>
      <c r="D8" t="s">
        <v>25</v>
      </c>
      <c r="E8" t="s">
        <v>12</v>
      </c>
      <c r="F8" t="s">
        <v>12</v>
      </c>
      <c r="G8" t="s">
        <v>43</v>
      </c>
      <c r="I8" t="s">
        <v>13</v>
      </c>
      <c r="J8">
        <v>1</v>
      </c>
    </row>
    <row r="9" spans="1:10" x14ac:dyDescent="0.25">
      <c r="A9" t="s">
        <v>9</v>
      </c>
      <c r="B9" t="s">
        <v>26</v>
      </c>
      <c r="C9">
        <v>2020</v>
      </c>
      <c r="D9" t="s">
        <v>25</v>
      </c>
      <c r="E9" t="s">
        <v>12</v>
      </c>
      <c r="F9" t="s">
        <v>12</v>
      </c>
      <c r="G9" t="s">
        <v>38</v>
      </c>
      <c r="I9" t="s">
        <v>13</v>
      </c>
      <c r="J9">
        <v>1</v>
      </c>
    </row>
    <row r="10" spans="1:10" x14ac:dyDescent="0.25">
      <c r="A10" t="s">
        <v>9</v>
      </c>
      <c r="B10" t="s">
        <v>27</v>
      </c>
      <c r="C10">
        <v>2020</v>
      </c>
      <c r="D10" t="s">
        <v>28</v>
      </c>
      <c r="E10" t="s">
        <v>12</v>
      </c>
      <c r="F10" t="s">
        <v>12</v>
      </c>
      <c r="G10" t="s">
        <v>43</v>
      </c>
      <c r="I10" t="s">
        <v>13</v>
      </c>
      <c r="J10">
        <v>1</v>
      </c>
    </row>
    <row r="11" spans="1:10" x14ac:dyDescent="0.25">
      <c r="A11" t="s">
        <v>9</v>
      </c>
      <c r="B11" t="s">
        <v>29</v>
      </c>
      <c r="C11">
        <v>2020</v>
      </c>
      <c r="D11" t="s">
        <v>28</v>
      </c>
      <c r="E11" t="s">
        <v>12</v>
      </c>
      <c r="F11" t="s">
        <v>12</v>
      </c>
      <c r="G11" t="s">
        <v>106</v>
      </c>
      <c r="I11" t="s">
        <v>13</v>
      </c>
      <c r="J11">
        <v>1</v>
      </c>
    </row>
    <row r="12" spans="1:10" x14ac:dyDescent="0.25">
      <c r="A12" t="s">
        <v>9</v>
      </c>
      <c r="B12" t="s">
        <v>30</v>
      </c>
      <c r="C12">
        <v>2020</v>
      </c>
      <c r="D12" t="s">
        <v>21</v>
      </c>
      <c r="E12" t="s">
        <v>12</v>
      </c>
      <c r="F12" t="s">
        <v>12</v>
      </c>
      <c r="G12" t="s">
        <v>107</v>
      </c>
      <c r="I12" t="s">
        <v>13</v>
      </c>
      <c r="J12">
        <v>1</v>
      </c>
    </row>
    <row r="13" spans="1:10" x14ac:dyDescent="0.25">
      <c r="A13" t="s">
        <v>9</v>
      </c>
      <c r="B13" t="s">
        <v>31</v>
      </c>
      <c r="C13">
        <v>2021</v>
      </c>
      <c r="D13" t="s">
        <v>32</v>
      </c>
      <c r="E13" t="s">
        <v>12</v>
      </c>
      <c r="F13" t="s">
        <v>12</v>
      </c>
      <c r="G13" t="s">
        <v>107</v>
      </c>
      <c r="I13" t="s">
        <v>13</v>
      </c>
      <c r="J13">
        <v>1</v>
      </c>
    </row>
    <row r="14" spans="1:10" x14ac:dyDescent="0.25">
      <c r="A14" t="s">
        <v>9</v>
      </c>
      <c r="B14" t="s">
        <v>33</v>
      </c>
      <c r="C14">
        <v>2021</v>
      </c>
      <c r="D14" t="s">
        <v>34</v>
      </c>
      <c r="E14" t="s">
        <v>12</v>
      </c>
      <c r="F14" t="s">
        <v>12</v>
      </c>
      <c r="G14" t="s">
        <v>43</v>
      </c>
      <c r="I14" t="s">
        <v>13</v>
      </c>
      <c r="J14">
        <v>1</v>
      </c>
    </row>
    <row r="15" spans="1:10" x14ac:dyDescent="0.25">
      <c r="A15" t="s">
        <v>9</v>
      </c>
      <c r="B15" t="s">
        <v>35</v>
      </c>
      <c r="C15">
        <v>2021</v>
      </c>
      <c r="D15" t="s">
        <v>36</v>
      </c>
      <c r="E15" t="s">
        <v>12</v>
      </c>
      <c r="F15" t="s">
        <v>12</v>
      </c>
      <c r="G15" s="1" t="s">
        <v>17</v>
      </c>
      <c r="H15" s="1"/>
      <c r="I15" t="s">
        <v>13</v>
      </c>
      <c r="J15">
        <v>1</v>
      </c>
    </row>
    <row r="16" spans="1:10" x14ac:dyDescent="0.25">
      <c r="A16" t="s">
        <v>9</v>
      </c>
      <c r="B16" t="s">
        <v>37</v>
      </c>
      <c r="C16">
        <v>2021</v>
      </c>
      <c r="D16" t="s">
        <v>25</v>
      </c>
      <c r="E16" t="s">
        <v>12</v>
      </c>
      <c r="F16" t="s">
        <v>12</v>
      </c>
      <c r="G16" t="s">
        <v>38</v>
      </c>
      <c r="I16" t="s">
        <v>13</v>
      </c>
      <c r="J16">
        <v>1</v>
      </c>
    </row>
    <row r="17" spans="1:10" x14ac:dyDescent="0.25">
      <c r="A17" t="s">
        <v>9</v>
      </c>
      <c r="B17" t="s">
        <v>39</v>
      </c>
      <c r="C17">
        <v>2021</v>
      </c>
      <c r="D17" t="s">
        <v>25</v>
      </c>
      <c r="E17" t="s">
        <v>12</v>
      </c>
      <c r="F17" t="s">
        <v>12</v>
      </c>
      <c r="G17" t="s">
        <v>85</v>
      </c>
      <c r="I17" t="s">
        <v>13</v>
      </c>
      <c r="J17">
        <v>1</v>
      </c>
    </row>
    <row r="18" spans="1:10" x14ac:dyDescent="0.25">
      <c r="A18" t="s">
        <v>9</v>
      </c>
      <c r="B18" t="s">
        <v>40</v>
      </c>
      <c r="C18">
        <v>2021</v>
      </c>
      <c r="D18" t="s">
        <v>19</v>
      </c>
      <c r="E18" t="s">
        <v>12</v>
      </c>
      <c r="F18" t="s">
        <v>12</v>
      </c>
      <c r="G18" t="s">
        <v>107</v>
      </c>
      <c r="I18" t="s">
        <v>13</v>
      </c>
      <c r="J18">
        <v>1</v>
      </c>
    </row>
    <row r="19" spans="1:10" x14ac:dyDescent="0.25">
      <c r="A19" t="s">
        <v>9</v>
      </c>
      <c r="B19" t="s">
        <v>75</v>
      </c>
      <c r="C19">
        <v>2021</v>
      </c>
      <c r="D19" t="s">
        <v>21</v>
      </c>
      <c r="E19" t="s">
        <v>12</v>
      </c>
      <c r="F19" t="s">
        <v>12</v>
      </c>
      <c r="G19" t="s">
        <v>38</v>
      </c>
      <c r="I19" t="s">
        <v>13</v>
      </c>
      <c r="J19">
        <v>1</v>
      </c>
    </row>
    <row r="20" spans="1:10" x14ac:dyDescent="0.25">
      <c r="A20" t="s">
        <v>9</v>
      </c>
      <c r="B20" t="s">
        <v>41</v>
      </c>
      <c r="C20">
        <v>2022</v>
      </c>
      <c r="D20" t="s">
        <v>34</v>
      </c>
      <c r="E20" t="s">
        <v>12</v>
      </c>
      <c r="F20" t="s">
        <v>12</v>
      </c>
      <c r="G20" t="s">
        <v>70</v>
      </c>
      <c r="I20" t="s">
        <v>13</v>
      </c>
      <c r="J20">
        <v>1</v>
      </c>
    </row>
    <row r="21" spans="1:10" x14ac:dyDescent="0.25">
      <c r="A21" t="s">
        <v>9</v>
      </c>
      <c r="B21" t="s">
        <v>42</v>
      </c>
      <c r="C21">
        <v>2022</v>
      </c>
      <c r="D21" t="s">
        <v>18</v>
      </c>
      <c r="E21" t="s">
        <v>12</v>
      </c>
      <c r="F21" t="s">
        <v>12</v>
      </c>
      <c r="G21" t="s">
        <v>43</v>
      </c>
      <c r="I21" t="s">
        <v>13</v>
      </c>
      <c r="J21">
        <v>1</v>
      </c>
    </row>
    <row r="22" spans="1:10" x14ac:dyDescent="0.25">
      <c r="A22" t="s">
        <v>9</v>
      </c>
      <c r="B22" t="s">
        <v>44</v>
      </c>
      <c r="C22">
        <v>2022</v>
      </c>
      <c r="D22" t="s">
        <v>28</v>
      </c>
      <c r="E22" t="s">
        <v>12</v>
      </c>
      <c r="F22" t="s">
        <v>12</v>
      </c>
      <c r="G22" t="s">
        <v>43</v>
      </c>
      <c r="I22" t="s">
        <v>13</v>
      </c>
      <c r="J22">
        <v>1</v>
      </c>
    </row>
    <row r="23" spans="1:10" x14ac:dyDescent="0.25">
      <c r="A23" t="s">
        <v>9</v>
      </c>
      <c r="B23" t="s">
        <v>45</v>
      </c>
      <c r="C23">
        <v>2022</v>
      </c>
      <c r="D23" t="s">
        <v>28</v>
      </c>
      <c r="E23" t="s">
        <v>12</v>
      </c>
      <c r="F23" t="s">
        <v>12</v>
      </c>
      <c r="G23" t="s">
        <v>22</v>
      </c>
      <c r="I23" t="s">
        <v>13</v>
      </c>
      <c r="J23">
        <v>1</v>
      </c>
    </row>
    <row r="24" spans="1:10" x14ac:dyDescent="0.25">
      <c r="A24" t="s">
        <v>9</v>
      </c>
      <c r="B24" t="s">
        <v>47</v>
      </c>
      <c r="C24">
        <v>2022</v>
      </c>
      <c r="D24" t="s">
        <v>19</v>
      </c>
      <c r="E24" t="s">
        <v>12</v>
      </c>
      <c r="F24" t="s">
        <v>12</v>
      </c>
      <c r="G24" t="s">
        <v>48</v>
      </c>
      <c r="I24" t="s">
        <v>13</v>
      </c>
      <c r="J24">
        <v>1</v>
      </c>
    </row>
    <row r="25" spans="1:10" x14ac:dyDescent="0.25">
      <c r="A25" t="s">
        <v>9</v>
      </c>
      <c r="B25" t="s">
        <v>88</v>
      </c>
      <c r="C25">
        <v>2022</v>
      </c>
      <c r="D25" t="s">
        <v>21</v>
      </c>
      <c r="E25" t="s">
        <v>12</v>
      </c>
      <c r="F25" t="s">
        <v>12</v>
      </c>
      <c r="G25" t="s">
        <v>70</v>
      </c>
      <c r="I25" t="s">
        <v>13</v>
      </c>
      <c r="J25">
        <v>1</v>
      </c>
    </row>
    <row r="26" spans="1:10" x14ac:dyDescent="0.25">
      <c r="A26" t="s">
        <v>9</v>
      </c>
      <c r="B26" t="s">
        <v>49</v>
      </c>
      <c r="C26">
        <v>2022</v>
      </c>
      <c r="D26" t="s">
        <v>21</v>
      </c>
      <c r="E26" t="s">
        <v>12</v>
      </c>
      <c r="F26" t="s">
        <v>12</v>
      </c>
      <c r="G26" t="s">
        <v>70</v>
      </c>
      <c r="I26" t="s">
        <v>13</v>
      </c>
      <c r="J26">
        <v>1</v>
      </c>
    </row>
    <row r="27" spans="1:10" x14ac:dyDescent="0.25">
      <c r="A27" t="s">
        <v>9</v>
      </c>
      <c r="B27" t="s">
        <v>50</v>
      </c>
      <c r="C27">
        <v>2023</v>
      </c>
      <c r="D27" t="s">
        <v>11</v>
      </c>
      <c r="E27" t="s">
        <v>12</v>
      </c>
      <c r="F27" t="s">
        <v>12</v>
      </c>
      <c r="G27" s="1" t="s">
        <v>17</v>
      </c>
      <c r="H27" s="1"/>
      <c r="I27" t="s">
        <v>13</v>
      </c>
      <c r="J27">
        <v>1</v>
      </c>
    </row>
    <row r="28" spans="1:10" x14ac:dyDescent="0.25">
      <c r="A28" t="s">
        <v>9</v>
      </c>
      <c r="B28" t="s">
        <v>51</v>
      </c>
      <c r="C28">
        <v>2023</v>
      </c>
      <c r="D28" t="s">
        <v>34</v>
      </c>
      <c r="E28" t="s">
        <v>12</v>
      </c>
      <c r="F28" t="s">
        <v>12</v>
      </c>
      <c r="G28" t="s">
        <v>43</v>
      </c>
      <c r="I28" t="s">
        <v>13</v>
      </c>
      <c r="J28">
        <v>1</v>
      </c>
    </row>
    <row r="29" spans="1:10" x14ac:dyDescent="0.25">
      <c r="A29" t="s">
        <v>9</v>
      </c>
      <c r="B29" t="s">
        <v>52</v>
      </c>
      <c r="C29">
        <v>2023</v>
      </c>
      <c r="D29" t="s">
        <v>25</v>
      </c>
      <c r="E29" t="s">
        <v>12</v>
      </c>
      <c r="F29" t="s">
        <v>12</v>
      </c>
      <c r="G29" t="s">
        <v>43</v>
      </c>
      <c r="I29" t="s">
        <v>13</v>
      </c>
      <c r="J29">
        <v>1</v>
      </c>
    </row>
    <row r="30" spans="1:10" x14ac:dyDescent="0.25">
      <c r="A30" t="s">
        <v>9</v>
      </c>
      <c r="B30" t="s">
        <v>53</v>
      </c>
      <c r="C30">
        <v>2023</v>
      </c>
      <c r="D30" t="s">
        <v>21</v>
      </c>
      <c r="E30" t="s">
        <v>12</v>
      </c>
      <c r="F30" t="s">
        <v>12</v>
      </c>
      <c r="G30" t="s">
        <v>93</v>
      </c>
      <c r="I30" t="s">
        <v>13</v>
      </c>
      <c r="J30">
        <v>1</v>
      </c>
    </row>
    <row r="31" spans="1:10" x14ac:dyDescent="0.25">
      <c r="A31" t="s">
        <v>9</v>
      </c>
      <c r="B31" t="s">
        <v>80</v>
      </c>
      <c r="C31">
        <v>2024</v>
      </c>
      <c r="D31" t="s">
        <v>32</v>
      </c>
      <c r="E31" t="s">
        <v>12</v>
      </c>
      <c r="F31" t="s">
        <v>12</v>
      </c>
      <c r="G31" t="s">
        <v>22</v>
      </c>
      <c r="I31" t="s">
        <v>13</v>
      </c>
      <c r="J31">
        <v>1</v>
      </c>
    </row>
    <row r="32" spans="1:10" x14ac:dyDescent="0.25">
      <c r="A32" t="s">
        <v>9</v>
      </c>
      <c r="B32" t="s">
        <v>54</v>
      </c>
      <c r="C32">
        <v>2024</v>
      </c>
      <c r="D32" t="s">
        <v>18</v>
      </c>
      <c r="E32" t="s">
        <v>12</v>
      </c>
      <c r="F32" t="s">
        <v>12</v>
      </c>
      <c r="G32" t="s">
        <v>43</v>
      </c>
      <c r="I32" t="s">
        <v>13</v>
      </c>
      <c r="J32">
        <v>1</v>
      </c>
    </row>
    <row r="33" spans="1:10" x14ac:dyDescent="0.25">
      <c r="A33" t="s">
        <v>9</v>
      </c>
      <c r="B33" t="s">
        <v>55</v>
      </c>
      <c r="C33">
        <v>2024</v>
      </c>
      <c r="D33" t="s">
        <v>18</v>
      </c>
      <c r="E33" t="s">
        <v>12</v>
      </c>
      <c r="F33" t="s">
        <v>12</v>
      </c>
      <c r="G33" t="s">
        <v>22</v>
      </c>
      <c r="I33" t="s">
        <v>13</v>
      </c>
      <c r="J33">
        <v>1</v>
      </c>
    </row>
    <row r="34" spans="1:10" x14ac:dyDescent="0.25">
      <c r="A34" t="s">
        <v>9</v>
      </c>
      <c r="B34" t="s">
        <v>56</v>
      </c>
      <c r="C34">
        <v>2024</v>
      </c>
      <c r="D34" t="s">
        <v>18</v>
      </c>
      <c r="E34" t="s">
        <v>12</v>
      </c>
      <c r="F34" t="s">
        <v>12</v>
      </c>
      <c r="G34" t="s">
        <v>22</v>
      </c>
      <c r="I34" t="s">
        <v>13</v>
      </c>
      <c r="J34">
        <v>1</v>
      </c>
    </row>
    <row r="35" spans="1:10" x14ac:dyDescent="0.25">
      <c r="A35" t="s">
        <v>9</v>
      </c>
      <c r="B35" t="s">
        <v>57</v>
      </c>
      <c r="C35">
        <v>2024</v>
      </c>
      <c r="D35" t="s">
        <v>28</v>
      </c>
      <c r="E35" t="s">
        <v>12</v>
      </c>
      <c r="F35" t="s">
        <v>12</v>
      </c>
      <c r="G35" t="s">
        <v>43</v>
      </c>
      <c r="I35" t="s">
        <v>13</v>
      </c>
      <c r="J35">
        <v>1</v>
      </c>
    </row>
    <row r="36" spans="1:10" x14ac:dyDescent="0.25">
      <c r="A36" t="s">
        <v>9</v>
      </c>
      <c r="B36" t="s">
        <v>58</v>
      </c>
      <c r="C36">
        <v>2024</v>
      </c>
      <c r="D36" t="s">
        <v>28</v>
      </c>
      <c r="E36" t="s">
        <v>12</v>
      </c>
      <c r="F36" t="s">
        <v>12</v>
      </c>
      <c r="G36" t="s">
        <v>22</v>
      </c>
      <c r="I36" t="s">
        <v>13</v>
      </c>
      <c r="J36">
        <v>1</v>
      </c>
    </row>
    <row r="37" spans="1:10" x14ac:dyDescent="0.25">
      <c r="A37" t="s">
        <v>9</v>
      </c>
      <c r="B37" t="s">
        <v>59</v>
      </c>
      <c r="C37">
        <v>2024</v>
      </c>
      <c r="D37" t="s">
        <v>19</v>
      </c>
      <c r="E37" t="s">
        <v>12</v>
      </c>
      <c r="F37" t="s">
        <v>12</v>
      </c>
      <c r="G37" t="s">
        <v>38</v>
      </c>
      <c r="I37" t="s">
        <v>13</v>
      </c>
      <c r="J37">
        <v>1</v>
      </c>
    </row>
    <row r="38" spans="1:10" x14ac:dyDescent="0.25">
      <c r="A38" t="s">
        <v>9</v>
      </c>
      <c r="B38" t="s">
        <v>60</v>
      </c>
      <c r="C38">
        <v>2024</v>
      </c>
      <c r="D38" t="s">
        <v>21</v>
      </c>
      <c r="E38" t="s">
        <v>12</v>
      </c>
      <c r="F38" t="s">
        <v>12</v>
      </c>
      <c r="G38" t="s">
        <v>22</v>
      </c>
      <c r="I38" t="s">
        <v>13</v>
      </c>
      <c r="J38">
        <v>1</v>
      </c>
    </row>
    <row r="39" spans="1:10" x14ac:dyDescent="0.25">
      <c r="A39" t="s">
        <v>61</v>
      </c>
      <c r="B39" t="s">
        <v>62</v>
      </c>
      <c r="C39">
        <v>2020</v>
      </c>
      <c r="D39" t="s">
        <v>11</v>
      </c>
      <c r="E39" t="s">
        <v>12</v>
      </c>
      <c r="F39" t="s">
        <v>63</v>
      </c>
      <c r="G39" t="s">
        <v>92</v>
      </c>
      <c r="I39" t="s">
        <v>13</v>
      </c>
      <c r="J39">
        <v>1</v>
      </c>
    </row>
    <row r="40" spans="1:10" x14ac:dyDescent="0.25">
      <c r="A40" t="s">
        <v>61</v>
      </c>
      <c r="B40" t="s">
        <v>64</v>
      </c>
      <c r="C40">
        <v>2021</v>
      </c>
      <c r="D40" t="s">
        <v>16</v>
      </c>
      <c r="E40" t="s">
        <v>12</v>
      </c>
      <c r="F40" t="s">
        <v>63</v>
      </c>
      <c r="G40" t="s">
        <v>93</v>
      </c>
      <c r="I40" t="s">
        <v>13</v>
      </c>
      <c r="J40">
        <v>1</v>
      </c>
    </row>
    <row r="41" spans="1:10" x14ac:dyDescent="0.25">
      <c r="A41" t="s">
        <v>61</v>
      </c>
      <c r="B41" t="s">
        <v>65</v>
      </c>
      <c r="C41">
        <v>2021</v>
      </c>
      <c r="D41" t="s">
        <v>34</v>
      </c>
      <c r="E41" t="s">
        <v>12</v>
      </c>
      <c r="F41" t="s">
        <v>63</v>
      </c>
      <c r="G41" s="1" t="s">
        <v>89</v>
      </c>
      <c r="H41" s="1"/>
      <c r="I41" t="s">
        <v>13</v>
      </c>
      <c r="J41">
        <v>1</v>
      </c>
    </row>
    <row r="42" spans="1:10" x14ac:dyDescent="0.25">
      <c r="A42" t="s">
        <v>61</v>
      </c>
      <c r="B42" t="s">
        <v>66</v>
      </c>
      <c r="C42">
        <v>2022</v>
      </c>
      <c r="D42" t="s">
        <v>36</v>
      </c>
      <c r="E42" t="s">
        <v>12</v>
      </c>
      <c r="F42" t="s">
        <v>63</v>
      </c>
      <c r="G42" s="1" t="s">
        <v>89</v>
      </c>
      <c r="H42" s="1"/>
      <c r="I42" t="s">
        <v>13</v>
      </c>
      <c r="J42">
        <v>1</v>
      </c>
    </row>
    <row r="43" spans="1:10" x14ac:dyDescent="0.25">
      <c r="A43" t="s">
        <v>61</v>
      </c>
      <c r="B43" t="s">
        <v>67</v>
      </c>
      <c r="C43">
        <v>2024</v>
      </c>
      <c r="D43" t="s">
        <v>25</v>
      </c>
      <c r="E43" t="s">
        <v>12</v>
      </c>
      <c r="F43" t="s">
        <v>63</v>
      </c>
      <c r="G43" t="s">
        <v>43</v>
      </c>
      <c r="I43" t="s">
        <v>13</v>
      </c>
      <c r="J43">
        <v>1</v>
      </c>
    </row>
    <row r="44" spans="1:10" x14ac:dyDescent="0.25">
      <c r="A44" t="s">
        <v>61</v>
      </c>
      <c r="B44" t="s">
        <v>68</v>
      </c>
      <c r="C44">
        <v>2024</v>
      </c>
      <c r="D44" t="s">
        <v>19</v>
      </c>
      <c r="E44" t="s">
        <v>12</v>
      </c>
      <c r="F44" t="s">
        <v>63</v>
      </c>
      <c r="G44" s="1" t="s">
        <v>89</v>
      </c>
      <c r="H44" s="1"/>
      <c r="I44" t="s">
        <v>13</v>
      </c>
      <c r="J44">
        <v>1</v>
      </c>
    </row>
    <row r="45" spans="1:10" x14ac:dyDescent="0.25">
      <c r="A45" t="s">
        <v>61</v>
      </c>
      <c r="B45" t="s">
        <v>69</v>
      </c>
      <c r="C45">
        <v>2024</v>
      </c>
      <c r="D45" t="s">
        <v>19</v>
      </c>
      <c r="E45" t="s">
        <v>12</v>
      </c>
      <c r="F45" t="s">
        <v>63</v>
      </c>
      <c r="G45" s="1" t="s">
        <v>89</v>
      </c>
      <c r="H45" s="1"/>
      <c r="I45" t="s">
        <v>13</v>
      </c>
      <c r="J45">
        <v>1</v>
      </c>
    </row>
    <row r="47" spans="1:10" x14ac:dyDescent="0.25">
      <c r="G47" s="1" t="s">
        <v>115</v>
      </c>
      <c r="H47" s="1">
        <v>4</v>
      </c>
    </row>
    <row r="48" spans="1:10" x14ac:dyDescent="0.25">
      <c r="G48" t="s">
        <v>114</v>
      </c>
      <c r="H48">
        <v>3</v>
      </c>
    </row>
    <row r="49" spans="1:10" x14ac:dyDescent="0.25">
      <c r="G49" t="s">
        <v>116</v>
      </c>
      <c r="H49">
        <v>3</v>
      </c>
    </row>
    <row r="50" spans="1:10" x14ac:dyDescent="0.25">
      <c r="G50" t="s">
        <v>98</v>
      </c>
      <c r="H50">
        <v>1</v>
      </c>
    </row>
    <row r="51" spans="1:10" x14ac:dyDescent="0.25">
      <c r="G51" t="s">
        <v>96</v>
      </c>
      <c r="H51">
        <v>1</v>
      </c>
    </row>
    <row r="52" spans="1:10" x14ac:dyDescent="0.25">
      <c r="G52" t="s">
        <v>101</v>
      </c>
      <c r="H52">
        <v>1</v>
      </c>
    </row>
    <row r="53" spans="1:10" x14ac:dyDescent="0.25">
      <c r="G53" t="s">
        <v>109</v>
      </c>
      <c r="H53">
        <v>1</v>
      </c>
    </row>
    <row r="54" spans="1:10" x14ac:dyDescent="0.25">
      <c r="G54" t="s">
        <v>95</v>
      </c>
      <c r="H54">
        <v>3</v>
      </c>
    </row>
    <row r="55" spans="1:10" x14ac:dyDescent="0.25">
      <c r="G55" t="s">
        <v>108</v>
      </c>
      <c r="H55">
        <v>3</v>
      </c>
    </row>
    <row r="56" spans="1:10" x14ac:dyDescent="0.25">
      <c r="G56" t="s">
        <v>97</v>
      </c>
      <c r="H56">
        <v>3</v>
      </c>
    </row>
    <row r="57" spans="1:10" x14ac:dyDescent="0.25">
      <c r="G57" t="s">
        <v>99</v>
      </c>
      <c r="H57">
        <v>4</v>
      </c>
    </row>
    <row r="58" spans="1:10" x14ac:dyDescent="0.25">
      <c r="G58" t="s">
        <v>103</v>
      </c>
      <c r="H58">
        <v>7</v>
      </c>
    </row>
    <row r="59" spans="1:10" x14ac:dyDescent="0.25">
      <c r="G59" t="s">
        <v>100</v>
      </c>
      <c r="H59">
        <v>10</v>
      </c>
    </row>
    <row r="60" spans="1:10" x14ac:dyDescent="0.25">
      <c r="G60" s="10" t="s">
        <v>104</v>
      </c>
      <c r="H60" s="10">
        <f>SUM(H47:H59)</f>
        <v>44</v>
      </c>
    </row>
    <row r="64" spans="1:10" x14ac:dyDescent="0.25">
      <c r="A64" t="s">
        <v>9</v>
      </c>
      <c r="B64" t="s">
        <v>46</v>
      </c>
      <c r="C64">
        <v>2022</v>
      </c>
      <c r="D64" t="s">
        <v>28</v>
      </c>
      <c r="E64" t="s">
        <v>12</v>
      </c>
      <c r="F64" t="s">
        <v>12</v>
      </c>
      <c r="G64" t="s">
        <v>22</v>
      </c>
      <c r="I64" t="s">
        <v>13</v>
      </c>
      <c r="J64" t="s">
        <v>102</v>
      </c>
    </row>
  </sheetData>
  <phoneticPr fontId="1" type="noConversion"/>
  <pageMargins left="0.511811024" right="0.511811024" top="0.78740157499999996" bottom="0.78740157499999996" header="0.31496062000000002" footer="0.31496062000000002"/>
  <pageSetup paperSize="9" orientation="portrait" horizontalDpi="4294967293" vertic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26AF2-8F8A-4532-B72D-E5FA687CF8C6}">
  <dimension ref="A1:I9"/>
  <sheetViews>
    <sheetView workbookViewId="0">
      <selection activeCell="G15" sqref="G15"/>
    </sheetView>
  </sheetViews>
  <sheetFormatPr defaultRowHeight="15.75" x14ac:dyDescent="0.25"/>
  <cols>
    <col min="1" max="1" width="6.25" customWidth="1"/>
    <col min="2" max="2" width="16.25" customWidth="1"/>
    <col min="3" max="3" width="6.75" customWidth="1"/>
    <col min="4" max="4" width="14.625" customWidth="1"/>
    <col min="5" max="5" width="11.875" customWidth="1"/>
    <col min="6" max="6" width="26.875" customWidth="1"/>
    <col min="7" max="7" width="17.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6</v>
      </c>
      <c r="G1" t="s">
        <v>7</v>
      </c>
      <c r="H1" t="s">
        <v>8</v>
      </c>
    </row>
    <row r="2" spans="1:9" x14ac:dyDescent="0.25">
      <c r="A2" t="s">
        <v>9</v>
      </c>
      <c r="B2" t="s">
        <v>73</v>
      </c>
      <c r="C2">
        <v>2021</v>
      </c>
      <c r="D2" t="s">
        <v>16</v>
      </c>
      <c r="E2" t="s">
        <v>12</v>
      </c>
      <c r="F2" t="s">
        <v>70</v>
      </c>
      <c r="G2" t="s">
        <v>71</v>
      </c>
      <c r="H2">
        <v>1</v>
      </c>
      <c r="I2" t="s">
        <v>87</v>
      </c>
    </row>
    <row r="3" spans="1:9" x14ac:dyDescent="0.25">
      <c r="A3" t="s">
        <v>9</v>
      </c>
      <c r="B3" t="s">
        <v>74</v>
      </c>
      <c r="C3">
        <v>2021</v>
      </c>
      <c r="D3" t="s">
        <v>32</v>
      </c>
      <c r="E3" t="s">
        <v>12</v>
      </c>
      <c r="G3" t="s">
        <v>71</v>
      </c>
      <c r="H3">
        <v>1</v>
      </c>
      <c r="I3" t="s">
        <v>90</v>
      </c>
    </row>
    <row r="4" spans="1:9" x14ac:dyDescent="0.25">
      <c r="A4" t="s">
        <v>9</v>
      </c>
      <c r="B4" t="s">
        <v>76</v>
      </c>
      <c r="C4">
        <v>2022</v>
      </c>
      <c r="D4" t="s">
        <v>21</v>
      </c>
      <c r="E4" t="s">
        <v>12</v>
      </c>
      <c r="F4" t="s">
        <v>17</v>
      </c>
      <c r="G4" t="s">
        <v>71</v>
      </c>
      <c r="H4">
        <v>1</v>
      </c>
    </row>
    <row r="5" spans="1:9" x14ac:dyDescent="0.25">
      <c r="A5" t="s">
        <v>9</v>
      </c>
      <c r="B5" t="s">
        <v>77</v>
      </c>
      <c r="C5">
        <v>2023</v>
      </c>
      <c r="D5" t="s">
        <v>16</v>
      </c>
      <c r="E5" t="s">
        <v>12</v>
      </c>
      <c r="F5" t="s">
        <v>86</v>
      </c>
      <c r="G5" t="s">
        <v>71</v>
      </c>
      <c r="H5">
        <v>1</v>
      </c>
    </row>
    <row r="6" spans="1:9" x14ac:dyDescent="0.25">
      <c r="A6" t="s">
        <v>9</v>
      </c>
      <c r="B6" t="s">
        <v>78</v>
      </c>
      <c r="C6">
        <v>2023</v>
      </c>
      <c r="D6" t="s">
        <v>21</v>
      </c>
      <c r="E6" t="s">
        <v>12</v>
      </c>
      <c r="F6" t="s">
        <v>70</v>
      </c>
      <c r="G6" t="s">
        <v>71</v>
      </c>
      <c r="H6">
        <v>1</v>
      </c>
      <c r="I6" t="s">
        <v>91</v>
      </c>
    </row>
    <row r="7" spans="1:9" x14ac:dyDescent="0.25">
      <c r="A7" t="s">
        <v>9</v>
      </c>
      <c r="B7" t="s">
        <v>79</v>
      </c>
      <c r="C7">
        <v>2024</v>
      </c>
      <c r="D7" t="s">
        <v>16</v>
      </c>
      <c r="E7" t="s">
        <v>12</v>
      </c>
      <c r="F7" t="s">
        <v>70</v>
      </c>
      <c r="G7" t="s">
        <v>71</v>
      </c>
      <c r="H7">
        <v>1</v>
      </c>
      <c r="I7" t="s">
        <v>91</v>
      </c>
    </row>
    <row r="8" spans="1:9" x14ac:dyDescent="0.25">
      <c r="A8" t="s">
        <v>9</v>
      </c>
      <c r="B8" t="s">
        <v>81</v>
      </c>
      <c r="C8">
        <v>2024</v>
      </c>
      <c r="D8" t="s">
        <v>19</v>
      </c>
      <c r="E8" t="s">
        <v>12</v>
      </c>
      <c r="F8" t="s">
        <v>82</v>
      </c>
      <c r="G8" t="s">
        <v>71</v>
      </c>
      <c r="H8">
        <v>1</v>
      </c>
    </row>
    <row r="9" spans="1:9" x14ac:dyDescent="0.25">
      <c r="A9" t="s">
        <v>9</v>
      </c>
      <c r="B9" t="s">
        <v>83</v>
      </c>
      <c r="C9">
        <v>2024</v>
      </c>
      <c r="D9" t="s">
        <v>21</v>
      </c>
      <c r="E9" t="s">
        <v>12</v>
      </c>
      <c r="F9" t="s">
        <v>84</v>
      </c>
      <c r="G9" t="s">
        <v>71</v>
      </c>
      <c r="H9">
        <v>1</v>
      </c>
      <c r="I9" t="s">
        <v>87</v>
      </c>
    </row>
  </sheetData>
  <pageMargins left="0.511811024" right="0.511811024" top="0.78740157499999996" bottom="0.78740157499999996" header="0.31496062000000002" footer="0.31496062000000002"/>
  <pageSetup paperSize="9" orientation="landscape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tabela dinâmica</vt:lpstr>
      <vt:lpstr>Tityus serrulatus</vt:lpstr>
      <vt:lpstr>Tityus spp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UFSC - Taciana Mara da Silva Seemann</dc:creator>
  <cp:lastModifiedBy>UFSC - Taciana Mara da Silva Seemann</cp:lastModifiedBy>
  <cp:lastPrinted>2025-09-26T18:18:42Z</cp:lastPrinted>
  <dcterms:created xsi:type="dcterms:W3CDTF">2025-09-24T18:29:01Z</dcterms:created>
  <dcterms:modified xsi:type="dcterms:W3CDTF">2025-10-13T13:17:59Z</dcterms:modified>
</cp:coreProperties>
</file>